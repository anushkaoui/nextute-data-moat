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Unit economics" sheetId="3" state="visible" r:id="rId3"/>
    <sheet name="3-Year P&amp;L" sheetId="4" state="visible" r:id="rId4"/>
    <sheet name="Break-even" sheetId="5" state="visible" r:id="rId5"/>
    <sheet name="Sensitivity" sheetId="6" state="visible" r:id="rId6"/>
    <sheet name="Use of fu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family val="2"/>
      <color theme="1"/>
      <sz val="11"/>
      <scheme val="minor"/>
    </font>
    <font>
      <b val="1"/>
      <color rgb="000F172A"/>
      <sz val="18"/>
    </font>
    <font>
      <color rgb="00475569"/>
      <sz val="10"/>
    </font>
    <font>
      <b val="1"/>
      <color rgb="000F172A"/>
    </font>
    <font>
      <b val="1"/>
      <color rgb="00FFFFFF"/>
    </font>
    <font/>
    <font>
      <b val="1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3" borderId="0" pivotButton="0" quotePrefix="0" xfId="0"/>
    <xf numFmtId="0" fontId="6" fillId="0" borderId="0" pivotButton="0" quotePrefix="0" xfId="0"/>
    <xf numFmtId="3" fontId="0" fillId="3" borderId="0" pivotButton="0" quotePrefix="0" xfId="0"/>
    <xf numFmtId="9" fontId="0" fillId="3" borderId="0" pivotButton="0" quotePrefix="0" xfId="0"/>
    <xf numFmtId="3" fontId="6" fillId="3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3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8" customWidth="1" min="2" max="2"/>
  </cols>
  <sheetData>
    <row r="1">
      <c r="A1" s="1" t="inlineStr">
        <is>
          <t>Institute Intelligence — 3-year financial model</t>
        </is>
      </c>
    </row>
    <row r="2">
      <c r="A2" s="2" t="inlineStr">
        <is>
          <t>Case B · The Data Moat · Nextute × Finance Club IIT Patna 2026</t>
        </is>
      </c>
    </row>
    <row r="4">
      <c r="A4" s="3" t="inlineStr">
        <is>
          <t>Purpose</t>
        </is>
      </c>
      <c r="B4" s="4" t="inlineStr">
        <is>
          <t>Bottom-up operating model for a Tier-2/3 coaching analytics pilot. Built for assumptions testing, not a forecast.</t>
        </is>
      </c>
    </row>
    <row r="5">
      <c r="A5" s="3" t="inlineStr">
        <is>
          <t>Currency</t>
        </is>
      </c>
      <c r="B5" s="4" t="inlineStr">
        <is>
          <t>Indian rupees (INR), nominal. Fiscal year = April–March.</t>
        </is>
      </c>
    </row>
    <row r="6">
      <c r="A6" s="3" t="inlineStr">
        <is>
          <t>Pricing</t>
        </is>
      </c>
      <c r="B6" s="4" t="inlineStr">
        <is>
          <t>₹35/student/month (Starter) and ₹55/student/month (Growth); 10 billed months; 150-student floor.</t>
        </is>
      </c>
    </row>
    <row r="7">
      <c r="A7" s="3" t="inlineStr">
        <is>
          <t>Revenue</t>
        </is>
      </c>
      <c r="B7" s="4" t="inlineStr">
        <is>
          <t>Recognised revenue uses average institutes in year × blended ACV. ARR uses year-end institutes.</t>
        </is>
      </c>
    </row>
    <row r="8">
      <c r="A8" s="3" t="inlineStr">
        <is>
          <t>Costs</t>
        </is>
      </c>
      <c r="B8" s="4" t="inlineStr">
        <is>
          <t>Service cost includes cloud, support, onboarding amortisation, WhatsApp/SMS, payments and content ops.</t>
        </is>
      </c>
    </row>
    <row r="9">
      <c r="A9" s="3" t="inlineStr">
        <is>
          <t>Fixed costs</t>
        </is>
      </c>
      <c r="B9" s="4" t="inlineStr">
        <is>
          <t>Team, office, tools, compliance and demand generation. Founder salaries below market in Year 1.</t>
        </is>
      </c>
    </row>
    <row r="10">
      <c r="A10" s="3" t="inlineStr">
        <is>
          <t>Caveat</t>
        </is>
      </c>
      <c r="B10" s="4" t="inlineStr">
        <is>
          <t>All demand, churn and pricing assumptions are hypotheses to test with 10 design-partner institutes.</t>
        </is>
      </c>
    </row>
    <row r="11">
      <c r="A11" s="3" t="inlineStr">
        <is>
          <t>Sheets</t>
        </is>
      </c>
      <c r="B11" s="4" t="inlineStr">
        <is>
          <t>Assumptions → Unit economics → 3-Year P&amp;L → Break-even → Sensitivity → Use of funds.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Assumptions</t>
        </is>
      </c>
    </row>
    <row r="2">
      <c r="A2" s="2" t="inlineStr">
        <is>
          <t>Edit blue cells; downstream sheets recalculate.</t>
        </is>
      </c>
    </row>
    <row r="4">
      <c r="A4" s="5" t="inlineStr">
        <is>
          <t>Driver</t>
        </is>
      </c>
      <c r="B4" s="5" t="inlineStr">
        <is>
          <t>Starter</t>
        </is>
      </c>
      <c r="C4" s="5" t="inlineStr">
        <is>
          <t>Growth</t>
        </is>
      </c>
      <c r="D4" s="5" t="inlineStr">
        <is>
          <t>Blended Y1</t>
        </is>
      </c>
      <c r="E4" s="5" t="inlineStr">
        <is>
          <t>Notes</t>
        </is>
      </c>
    </row>
    <row r="5">
      <c r="A5" s="6" t="inlineStr">
        <is>
          <t>Price per student per month (₹)</t>
        </is>
      </c>
      <c r="B5" s="7" t="n">
        <v>35</v>
      </c>
      <c r="C5" s="7" t="n">
        <v>55</v>
      </c>
      <c r="D5" t="inlineStr"/>
      <c r="E5" t="inlineStr">
        <is>
          <t>Willingness-to-pay hypothesis</t>
        </is>
      </c>
    </row>
    <row r="6">
      <c r="A6" s="6" t="inlineStr">
        <is>
          <t>Billed months per year</t>
        </is>
      </c>
      <c r="B6" s="7" t="n">
        <v>10</v>
      </c>
      <c r="C6" s="7" t="n">
        <v>10</v>
      </c>
      <c r="D6" t="inlineStr"/>
      <c r="E6" t="inlineStr">
        <is>
          <t>April–January; Feb–Mar free</t>
        </is>
      </c>
    </row>
    <row r="7">
      <c r="A7" s="6" t="inlineStr">
        <is>
          <t>Average students per institute</t>
        </is>
      </c>
      <c r="B7" s="7" t="n">
        <v>200</v>
      </c>
      <c r="C7" s="7" t="n">
        <v>350</v>
      </c>
      <c r="D7" t="inlineStr"/>
      <c r="E7" t="inlineStr">
        <is>
          <t>Growth tier assumes 350</t>
        </is>
      </c>
    </row>
    <row r="8">
      <c r="A8" s="8" t="inlineStr">
        <is>
          <t>Annual contract value (₹)</t>
        </is>
      </c>
      <c r="B8" s="9">
        <f>B5*B6*B7</f>
        <v/>
      </c>
      <c r="C8" s="9">
        <f>C5*C6*C7</f>
        <v/>
      </c>
      <c r="D8" t="inlineStr"/>
      <c r="E8" t="inlineStr">
        <is>
          <t>Price × months × students</t>
        </is>
      </c>
    </row>
    <row r="9">
      <c r="A9" s="6" t="inlineStr">
        <is>
          <t>Service cost per institute / year (₹)</t>
        </is>
      </c>
      <c r="B9" s="9" t="n">
        <v>25000</v>
      </c>
      <c r="C9" s="9" t="n">
        <v>66730</v>
      </c>
      <c r="D9" t="inlineStr"/>
      <c r="E9" t="inlineStr">
        <is>
          <t>Cloud, support, onboarding, messaging</t>
        </is>
      </c>
    </row>
    <row r="10">
      <c r="A10" s="8" t="inlineStr">
        <is>
          <t>Contribution per institute / year (₹)</t>
        </is>
      </c>
      <c r="B10" s="9">
        <f>B8-B9</f>
        <v/>
      </c>
      <c r="C10" s="9">
        <f>C8-C9</f>
        <v/>
      </c>
      <c r="D10" t="inlineStr"/>
      <c r="E10" t="inlineStr">
        <is>
          <t>ACV minus service cost</t>
        </is>
      </c>
    </row>
    <row r="11">
      <c r="A11" s="6" t="inlineStr">
        <is>
          <t>Contribution margin</t>
        </is>
      </c>
      <c r="B11" s="10">
        <f>B10/B8</f>
        <v/>
      </c>
      <c r="C11" s="10">
        <f>C10/C8</f>
        <v/>
      </c>
      <c r="D11" t="inlineStr"/>
      <c r="E11" t="inlineStr">
        <is>
          <t>Gross margin before fixed costs</t>
        </is>
      </c>
    </row>
    <row r="14">
      <c r="A14" s="5" t="inlineStr">
        <is>
          <t>Mix &amp; scale</t>
        </is>
      </c>
      <c r="B14" s="5" t="inlineStr">
        <is>
          <t>Year 1</t>
        </is>
      </c>
      <c r="C14" s="5" t="inlineStr">
        <is>
          <t>Year 2</t>
        </is>
      </c>
      <c r="D14" s="5" t="inlineStr">
        <is>
          <t>Year 3</t>
        </is>
      </c>
      <c r="E14" s="5" t="inlineStr">
        <is>
          <t>Notes</t>
        </is>
      </c>
    </row>
    <row r="15">
      <c r="A15" t="inlineStr">
        <is>
          <t>Starter share of institutes</t>
        </is>
      </c>
      <c r="B15" s="10" t="n">
        <v>0.75</v>
      </c>
      <c r="C15" s="10" t="n">
        <v>0.7</v>
      </c>
      <c r="D15" s="10" t="n">
        <v>0.65</v>
      </c>
      <c r="E15" t="inlineStr">
        <is>
          <t>Land small, expand</t>
        </is>
      </c>
    </row>
    <row r="16">
      <c r="A16" t="inlineStr">
        <is>
          <t>Growth share of institutes</t>
        </is>
      </c>
      <c r="B16" s="10">
        <f>1-B15</f>
        <v/>
      </c>
      <c r="C16" s="10">
        <f>1-C15</f>
        <v/>
      </c>
      <c r="D16" s="10">
        <f>1-D15</f>
        <v/>
      </c>
      <c r="E16" t="inlineStr">
        <is>
          <t>Residual</t>
        </is>
      </c>
    </row>
    <row r="17">
      <c r="A17" t="inlineStr">
        <is>
          <t>Blended ACV (₹)</t>
        </is>
      </c>
      <c r="B17" s="9">
        <f>B15*$B$8+C15*$C$8</f>
        <v/>
      </c>
      <c r="C17" s="9">
        <f>C15*$B$8+D15*$C$8</f>
        <v/>
      </c>
      <c r="D17" s="9">
        <f>D15*$B$8+E15*$C$8</f>
        <v/>
      </c>
      <c r="E17" t="inlineStr"/>
    </row>
    <row r="18">
      <c r="A18" t="inlineStr">
        <is>
          <t>Blended contribution (₹)</t>
        </is>
      </c>
      <c r="B18" s="9">
        <f>B15*$B$10+C15*$C$10</f>
        <v/>
      </c>
      <c r="C18" s="9">
        <f>C15*$B$10+D15*$C$10</f>
        <v/>
      </c>
      <c r="D18" s="9">
        <f>D15*$B$10+E15*$C$10</f>
        <v/>
      </c>
      <c r="E18" t="inlineStr"/>
    </row>
    <row r="19">
      <c r="A19" t="inlineStr">
        <is>
          <t>Year-end institutes</t>
        </is>
      </c>
      <c r="B19" s="7" t="n">
        <v>40</v>
      </c>
      <c r="C19" s="7" t="n">
        <v>140</v>
      </c>
      <c r="D19" s="7" t="n">
        <v>320</v>
      </c>
      <c r="E19" t="inlineStr">
        <is>
          <t>Sales capacity ramp</t>
        </is>
      </c>
    </row>
    <row r="20">
      <c r="A20" t="inlineStr">
        <is>
          <t>Average institutes in year</t>
        </is>
      </c>
      <c r="B20" s="7" t="n">
        <v>18</v>
      </c>
      <c r="C20" s="7" t="n">
        <v>88</v>
      </c>
      <c r="D20" s="7" t="n">
        <v>225</v>
      </c>
      <c r="E20" t="inlineStr">
        <is>
          <t>Lag between adds and revenue</t>
        </is>
      </c>
    </row>
    <row r="21">
      <c r="A21" t="inlineStr">
        <is>
          <t>Year-end students</t>
        </is>
      </c>
      <c r="B21" s="9">
        <f>B19*(B15*$B$7+C15*$C$7)</f>
        <v/>
      </c>
      <c r="C21" s="9">
        <f>C19*(C15*$B$7+D15*$C$7)</f>
        <v/>
      </c>
      <c r="D21" s="9">
        <f>D19*(D15*$B$7+E15*$C$7)</f>
        <v/>
      </c>
      <c r="E21" t="inlineStr"/>
    </row>
    <row r="23">
      <c r="A23" s="5" t="inlineStr">
        <is>
          <t>Fixed cost base</t>
        </is>
      </c>
      <c r="B23" s="5" t="inlineStr">
        <is>
          <t>Year 1</t>
        </is>
      </c>
      <c r="C23" s="5" t="inlineStr">
        <is>
          <t>Year 2</t>
        </is>
      </c>
      <c r="D23" s="5" t="inlineStr">
        <is>
          <t>Year 3</t>
        </is>
      </c>
      <c r="E23" s="5" t="inlineStr">
        <is>
          <t>Notes</t>
        </is>
      </c>
    </row>
    <row r="24">
      <c r="A24" t="inlineStr">
        <is>
          <t>Team (₹)</t>
        </is>
      </c>
      <c r="B24" s="7" t="n">
        <v>4800000</v>
      </c>
      <c r="C24" s="7" t="n">
        <v>6000000</v>
      </c>
      <c r="D24" s="7" t="n">
        <v>7800000</v>
      </c>
      <c r="E24" t="inlineStr">
        <is>
          <t>5–9 people; below-market founder pay</t>
        </is>
      </c>
    </row>
    <row r="25">
      <c r="A25" t="inlineStr">
        <is>
          <t>Demand generation (₹)</t>
        </is>
      </c>
      <c r="B25" s="7" t="n">
        <v>800000</v>
      </c>
      <c r="C25" s="7" t="n">
        <v>1200000</v>
      </c>
      <c r="D25" s="7" t="n">
        <v>1800000</v>
      </c>
      <c r="E25" t="inlineStr">
        <is>
          <t>Founder-led + referrals</t>
        </is>
      </c>
    </row>
    <row r="26">
      <c r="A26" t="inlineStr">
        <is>
          <t>Office, tools, cloud (₹)</t>
        </is>
      </c>
      <c r="B26" s="7" t="n">
        <v>900000</v>
      </c>
      <c r="C26" s="7" t="n">
        <v>1100000</v>
      </c>
      <c r="D26" s="7" t="n">
        <v>1400000</v>
      </c>
      <c r="E26" t="inlineStr">
        <is>
          <t>Lean Patna office</t>
        </is>
      </c>
    </row>
    <row r="27">
      <c r="A27" t="inlineStr">
        <is>
          <t>Compliance, legal, audit (₹)</t>
        </is>
      </c>
      <c r="B27" s="7" t="n">
        <v>400000</v>
      </c>
      <c r="C27" s="7" t="n">
        <v>500000</v>
      </c>
      <c r="D27" s="7" t="n">
        <v>700000</v>
      </c>
      <c r="E27" t="inlineStr">
        <is>
          <t>DPDP, contracts, security</t>
        </is>
      </c>
    </row>
    <row r="28">
      <c r="A28" t="inlineStr">
        <is>
          <t>Content &amp; assessment ops (₹)</t>
        </is>
      </c>
      <c r="B28" s="7" t="n">
        <v>700000</v>
      </c>
      <c r="C28" s="7" t="n">
        <v>400000</v>
      </c>
      <c r="D28" s="7" t="n">
        <v>300000</v>
      </c>
      <c r="E28" t="inlineStr">
        <is>
          <t>Curated library, item review</t>
        </is>
      </c>
    </row>
    <row r="29">
      <c r="A29" t="inlineStr">
        <is>
          <t>Total fixed cost (₹)</t>
        </is>
      </c>
      <c r="B29" s="11">
        <f>SUM(B24:B28)</f>
        <v/>
      </c>
      <c r="C29" s="11">
        <f>SUM(C24:C28)</f>
        <v/>
      </c>
      <c r="D29" s="11">
        <f>SUM(D24:D28)</f>
        <v/>
      </c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1" t="inlineStr">
        <is>
          <t>Unit economics</t>
        </is>
      </c>
    </row>
    <row r="2">
      <c r="A2" s="2" t="inlineStr">
        <is>
          <t>One institute, first 12 months.</t>
        </is>
      </c>
    </row>
    <row r="4">
      <c r="A4" s="5" t="inlineStr">
        <is>
          <t>Metric</t>
        </is>
      </c>
      <c r="B4" s="5" t="inlineStr">
        <is>
          <t>Starter</t>
        </is>
      </c>
      <c r="C4" s="5" t="inlineStr">
        <is>
          <t>Growth</t>
        </is>
      </c>
    </row>
    <row r="5">
      <c r="A5" s="6" t="inlineStr">
        <is>
          <t>ACV (₹)</t>
        </is>
      </c>
      <c r="B5" s="12">
        <f>Assumptions!B8</f>
        <v/>
      </c>
      <c r="C5" s="12">
        <f>Assumptions!C8</f>
        <v/>
      </c>
    </row>
    <row r="6">
      <c r="A6" s="6" t="inlineStr">
        <is>
          <t>Service cost (₹)</t>
        </is>
      </c>
      <c r="B6" s="12">
        <f>Assumptions!B9</f>
        <v/>
      </c>
      <c r="C6" s="12">
        <f>Assumptions!C9</f>
        <v/>
      </c>
    </row>
    <row r="7">
      <c r="A7" s="8" t="inlineStr">
        <is>
          <t>Contribution (₹)</t>
        </is>
      </c>
      <c r="B7" s="12">
        <f>B5-B6</f>
        <v/>
      </c>
      <c r="C7" s="12">
        <f>C5-C6</f>
        <v/>
      </c>
    </row>
    <row r="8">
      <c r="A8" s="6" t="inlineStr">
        <is>
          <t>Contribution margin</t>
        </is>
      </c>
      <c r="B8" s="13">
        <f>B7/B5</f>
        <v/>
      </c>
      <c r="C8" s="13">
        <f>C7/C5</f>
        <v/>
      </c>
    </row>
    <row r="9">
      <c r="A9" s="8" t="inlineStr">
        <is>
          <t>CAC (₹)</t>
        </is>
      </c>
      <c r="B9" s="12" t="n">
        <v>38000</v>
      </c>
      <c r="C9" s="12" t="n">
        <v>38000</v>
      </c>
    </row>
    <row r="10">
      <c r="A10" s="6" t="inlineStr">
        <is>
          <t>CAC payback (months)</t>
        </is>
      </c>
      <c r="B10" s="14">
        <f>B9/(B7/12)</f>
        <v/>
      </c>
      <c r="C10" s="14">
        <f>C9/(C7/12)</f>
        <v/>
      </c>
    </row>
    <row r="11">
      <c r="A11" s="6" t="inlineStr">
        <is>
          <t>Average life (months)</t>
        </is>
      </c>
      <c r="B11" t="n">
        <v>30</v>
      </c>
      <c r="C11" t="n">
        <v>30</v>
      </c>
    </row>
    <row r="12">
      <c r="A12" s="6" t="inlineStr">
        <is>
          <t>LTV (₹)</t>
        </is>
      </c>
      <c r="B12" s="12">
        <f>B7/12*B11</f>
        <v/>
      </c>
      <c r="C12" s="12">
        <f>C7/12*C11</f>
        <v/>
      </c>
    </row>
    <row r="13">
      <c r="A13" s="8" t="inlineStr">
        <is>
          <t>LTV / CAC</t>
        </is>
      </c>
      <c r="B13" s="14">
        <f>B12/B9</f>
        <v/>
      </c>
      <c r="C13" s="14">
        <f>C12/C9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3-year P&amp;L</t>
        </is>
      </c>
    </row>
    <row r="2">
      <c r="A2" s="2" t="inlineStr">
        <is>
          <t>Revenue recognition uses average institutes; ARR uses year-end.</t>
        </is>
      </c>
    </row>
    <row r="4">
      <c r="A4" s="15" t="inlineStr">
        <is>
          <t>Line item (₹)</t>
        </is>
      </c>
      <c r="B4" s="15" t="inlineStr">
        <is>
          <t>Year 1</t>
        </is>
      </c>
      <c r="C4" s="15" t="inlineStr">
        <is>
          <t>Year 2</t>
        </is>
      </c>
      <c r="D4" s="15" t="inlineStr">
        <is>
          <t>Year 3</t>
        </is>
      </c>
    </row>
    <row r="5">
      <c r="A5" s="16" t="inlineStr">
        <is>
          <t>Starter share</t>
        </is>
      </c>
      <c r="B5" s="17">
        <f>Assumptions!B15</f>
        <v/>
      </c>
      <c r="C5" s="17">
        <f>Assumptions!C15</f>
        <v/>
      </c>
      <c r="D5" s="17">
        <f>Assumptions!D15</f>
        <v/>
      </c>
    </row>
    <row r="6">
      <c r="A6" s="16" t="inlineStr">
        <is>
          <t>Growth share</t>
        </is>
      </c>
      <c r="B6" s="17">
        <f>Assumptions!B16</f>
        <v/>
      </c>
      <c r="C6" s="17">
        <f>Assumptions!C16</f>
        <v/>
      </c>
      <c r="D6" s="17">
        <f>Assumptions!D16</f>
        <v/>
      </c>
    </row>
    <row r="7">
      <c r="A7" s="16" t="inlineStr">
        <is>
          <t>Blended ACV</t>
        </is>
      </c>
      <c r="B7" s="18">
        <f>Assumptions!B17</f>
        <v/>
      </c>
      <c r="C7" s="18">
        <f>Assumptions!C17</f>
        <v/>
      </c>
      <c r="D7" s="18">
        <f>Assumptions!D17</f>
        <v/>
      </c>
    </row>
    <row r="8">
      <c r="A8" s="16" t="inlineStr">
        <is>
          <t>Average institutes</t>
        </is>
      </c>
      <c r="B8" s="18">
        <f>Assumptions!B20</f>
        <v/>
      </c>
      <c r="C8" s="18">
        <f>Assumptions!C20</f>
        <v/>
      </c>
      <c r="D8" s="18">
        <f>Assumptions!D20</f>
        <v/>
      </c>
    </row>
    <row r="9">
      <c r="A9" s="19" t="inlineStr">
        <is>
          <t>Revenue</t>
        </is>
      </c>
      <c r="B9" s="18">
        <f>B8*B7</f>
        <v/>
      </c>
      <c r="C9" s="18">
        <f>C8*C7</f>
        <v/>
      </c>
      <c r="D9" s="18">
        <f>D8*D7</f>
        <v/>
      </c>
    </row>
    <row r="10">
      <c r="A10" s="16" t="inlineStr">
        <is>
          <t>Blended contribution per institute</t>
        </is>
      </c>
      <c r="B10" s="18">
        <f>Assumptions!B18</f>
        <v/>
      </c>
      <c r="C10" s="18">
        <f>Assumptions!C18</f>
        <v/>
      </c>
      <c r="D10" s="18">
        <f>Assumptions!D18</f>
        <v/>
      </c>
    </row>
    <row r="11">
      <c r="A11" s="19" t="inlineStr">
        <is>
          <t>Contribution</t>
        </is>
      </c>
      <c r="B11" s="18">
        <f>B8*B10</f>
        <v/>
      </c>
      <c r="C11" s="18">
        <f>C8*C10</f>
        <v/>
      </c>
      <c r="D11" s="18">
        <f>D8*D10</f>
        <v/>
      </c>
    </row>
    <row r="12">
      <c r="A12" s="16" t="inlineStr">
        <is>
          <t>Service cost</t>
        </is>
      </c>
      <c r="B12" s="18">
        <f>B9-B11</f>
        <v/>
      </c>
      <c r="C12" s="18">
        <f>C9-C11</f>
        <v/>
      </c>
      <c r="D12" s="18">
        <f>D9-D11</f>
        <v/>
      </c>
    </row>
    <row r="13">
      <c r="A13" s="16" t="inlineStr">
        <is>
          <t>Fixed cost</t>
        </is>
      </c>
      <c r="B13" s="18">
        <f>Assumptions!B29</f>
        <v/>
      </c>
      <c r="C13" s="18">
        <f>Assumptions!C29</f>
        <v/>
      </c>
      <c r="D13" s="18">
        <f>Assumptions!D29</f>
        <v/>
      </c>
    </row>
    <row r="14">
      <c r="A14" s="19" t="inlineStr">
        <is>
          <t>EBITDA</t>
        </is>
      </c>
      <c r="B14" s="18">
        <f>B11-B13</f>
        <v/>
      </c>
      <c r="C14" s="18">
        <f>C11-C13</f>
        <v/>
      </c>
      <c r="D14" s="18">
        <f>D11-D13</f>
        <v/>
      </c>
    </row>
    <row r="15">
      <c r="A15" s="19" t="inlineStr">
        <is>
          <t>EBITDA margin</t>
        </is>
      </c>
      <c r="B15" s="17">
        <f>B14/B9</f>
        <v/>
      </c>
      <c r="C15" s="17">
        <f>C14/C9</f>
        <v/>
      </c>
      <c r="D15" s="17">
        <f>D14/D9</f>
        <v/>
      </c>
    </row>
    <row r="16">
      <c r="A16" s="19" t="inlineStr">
        <is>
          <t>Cumulative EBITDA</t>
        </is>
      </c>
      <c r="B16" s="18">
        <f>B14</f>
        <v/>
      </c>
      <c r="C16" s="18">
        <f>B16+C14</f>
        <v/>
      </c>
      <c r="D16" s="18">
        <f>C16+D14</f>
        <v/>
      </c>
    </row>
    <row r="17">
      <c r="A17" s="16" t="inlineStr">
        <is>
          <t>Year-end institutes</t>
        </is>
      </c>
      <c r="B17" s="18">
        <f>Assumptions!B19</f>
        <v/>
      </c>
      <c r="C17" s="18">
        <f>Assumptions!C19</f>
        <v/>
      </c>
      <c r="D17" s="18">
        <f>Assumptions!D19</f>
        <v/>
      </c>
    </row>
    <row r="18">
      <c r="A18" s="16" t="inlineStr">
        <is>
          <t>Year-end students</t>
        </is>
      </c>
      <c r="B18" s="18">
        <f>Assumptions!B21</f>
        <v/>
      </c>
      <c r="C18" s="18">
        <f>Assumptions!C21</f>
        <v/>
      </c>
      <c r="D18" s="18">
        <f>Assumptions!D21</f>
        <v/>
      </c>
    </row>
    <row r="19">
      <c r="A19" s="16" t="inlineStr">
        <is>
          <t>ARR (year-end institutes × ACV)</t>
        </is>
      </c>
      <c r="B19" s="18">
        <f>B17*B7</f>
        <v/>
      </c>
      <c r="C19" s="18">
        <f>C17*C7</f>
        <v/>
      </c>
      <c r="D19" s="18">
        <f>D17*D7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2" customWidth="1" min="2" max="2"/>
  </cols>
  <sheetData>
    <row r="1">
      <c r="A1" s="1" t="inlineStr">
        <is>
          <t>Break-even and funding</t>
        </is>
      </c>
    </row>
    <row r="2">
      <c r="A2" s="2" t="inlineStr">
        <is>
          <t>Break-even at the Year-1 fixed cost base.</t>
        </is>
      </c>
    </row>
    <row r="5">
      <c r="A5" t="inlineStr">
        <is>
          <t>Year-1 fixed cost (₹)</t>
        </is>
      </c>
      <c r="B5" s="12">
        <f>Assumptions!B29</f>
        <v/>
      </c>
    </row>
    <row r="6">
      <c r="A6" t="inlineStr">
        <is>
          <t>Blended contribution per institute (Year 2 mix) (₹)</t>
        </is>
      </c>
      <c r="B6" s="12">
        <f>Assumptions!C18</f>
        <v/>
      </c>
    </row>
    <row r="7">
      <c r="A7" t="inlineStr">
        <is>
          <t>Break-even institutes</t>
        </is>
      </c>
      <c r="B7">
        <f>B5/B6</f>
        <v/>
      </c>
    </row>
    <row r="8">
      <c r="A8" t="inlineStr">
        <is>
          <t>Growth-tier contribution / month (₹)</t>
        </is>
      </c>
      <c r="B8" s="14">
        <f>Assumptions!C10/12</f>
        <v/>
      </c>
    </row>
    <row r="9">
      <c r="A9" t="inlineStr">
        <is>
          <t>Growth-tier CAC payback (months)</t>
        </is>
      </c>
      <c r="B9">
        <f>38000/B8</f>
        <v/>
      </c>
    </row>
    <row r="10">
      <c r="A10" t="inlineStr">
        <is>
          <t>Peak cumulative EBITDA (₹)</t>
        </is>
      </c>
      <c r="B10" s="14">
        <f>'3-Year P&amp;L'!C16</f>
        <v/>
      </c>
    </row>
    <row r="11">
      <c r="A11" t="inlineStr">
        <is>
          <t>Funding ask (₹)</t>
        </is>
      </c>
      <c r="B11" s="12" t="n">
        <v>10000000</v>
      </c>
    </row>
    <row r="12">
      <c r="A12" t="inlineStr">
        <is>
          <t>Runway / buffer (₹)</t>
        </is>
      </c>
      <c r="B12" s="12">
        <f>B11+B10</f>
        <v/>
      </c>
    </row>
    <row r="13">
      <c r="B13" s="1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Sensitivity</t>
        </is>
      </c>
    </row>
    <row r="2">
      <c r="A2" s="2" t="inlineStr">
        <is>
          <t>Year-3 EBITDA (₹ lakh) vs average institutes and fixed cost.</t>
        </is>
      </c>
    </row>
    <row r="4">
      <c r="A4" s="8" t="inlineStr">
        <is>
          <t>Average institutes →</t>
        </is>
      </c>
      <c r="B4" t="n">
        <v>180</v>
      </c>
      <c r="C4" t="n">
        <v>225</v>
      </c>
      <c r="D4" t="n">
        <v>270</v>
      </c>
    </row>
    <row r="5">
      <c r="A5" s="20" t="n">
        <v>10800000</v>
      </c>
      <c r="B5" s="14">
        <f>(180*Assumptions!D18-10800000)/100000</f>
        <v/>
      </c>
      <c r="C5" s="14">
        <f>(225*Assumptions!D18-10800000)/100000</f>
        <v/>
      </c>
      <c r="D5" s="14">
        <f>(270*Assumptions!D18-10800000)/100000</f>
        <v/>
      </c>
    </row>
    <row r="6">
      <c r="A6" s="12" t="n">
        <v>12000000</v>
      </c>
      <c r="B6" s="14">
        <f>(180*Assumptions!D18-12000000)/100000</f>
        <v/>
      </c>
      <c r="C6" s="14">
        <f>(225*Assumptions!D18-12000000)/100000</f>
        <v/>
      </c>
      <c r="D6" s="14">
        <f>(270*Assumptions!D18-12000000)/100000</f>
        <v/>
      </c>
    </row>
    <row r="7">
      <c r="A7" s="12" t="n">
        <v>13200000</v>
      </c>
      <c r="B7" s="14">
        <f>(180*Assumptions!D18-13200000)/100000</f>
        <v/>
      </c>
      <c r="C7" s="14">
        <f>(225*Assumptions!D18-13200000)/100000</f>
        <v/>
      </c>
      <c r="D7" s="14">
        <f>(270*Assumptions!D18-13200000)/100000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70" customWidth="1" min="4" max="4"/>
  </cols>
  <sheetData>
    <row r="1">
      <c r="A1" s="1" t="inlineStr">
        <is>
          <t>Use of funds — ₹1.0 crore</t>
        </is>
      </c>
    </row>
    <row r="2">
      <c r="A2" s="2" t="inlineStr">
        <is>
          <t>18-month plan to 110+ paying institutes.</t>
        </is>
      </c>
    </row>
    <row r="4">
      <c r="A4" s="15" t="inlineStr">
        <is>
          <t>Category</t>
        </is>
      </c>
      <c r="B4" s="15" t="inlineStr">
        <is>
          <t>Amount (₹)</t>
        </is>
      </c>
      <c r="C4" s="15" t="inlineStr">
        <is>
          <t>Share</t>
        </is>
      </c>
      <c r="D4" s="15" t="inlineStr">
        <is>
          <t>What it buys</t>
        </is>
      </c>
    </row>
    <row r="5">
      <c r="A5" s="4" t="inlineStr">
        <is>
          <t>Product &amp; engineering</t>
        </is>
      </c>
      <c r="B5" s="18" t="n">
        <v>3500000</v>
      </c>
      <c r="C5" s="17">
        <f>B5/10000000</f>
        <v/>
      </c>
      <c r="D5" s="4" t="inlineStr">
        <is>
          <t>Two engineers; import/analytics/report hardening, OMR adapter.</t>
        </is>
      </c>
    </row>
    <row r="6">
      <c r="A6" s="4" t="inlineStr">
        <is>
          <t>Pilot delivery &amp; onboarding</t>
        </is>
      </c>
      <c r="B6" s="18" t="n">
        <v>2000000</v>
      </c>
      <c r="C6" s="17">
        <f>B6/10000000</f>
        <v/>
      </c>
      <c r="D6" s="4" t="inlineStr">
        <is>
          <t>10 design partners; data cleaning; teacher training.</t>
        </is>
      </c>
    </row>
    <row r="7">
      <c r="A7" s="4" t="inlineStr">
        <is>
          <t>Sales &amp; channel</t>
        </is>
      </c>
      <c r="B7" s="18" t="n">
        <v>2000000</v>
      </c>
      <c r="C7" s="17">
        <f>B7/10000000</f>
        <v/>
      </c>
      <c r="D7" s="4" t="inlineStr">
        <is>
          <t>Founder-led sales, local events, referral incentives.</t>
        </is>
      </c>
    </row>
    <row r="8">
      <c r="A8" s="4" t="inlineStr">
        <is>
          <t>Content &amp; assessment ops</t>
        </is>
      </c>
      <c r="B8" s="18" t="n">
        <v>1000000</v>
      </c>
      <c r="C8" s="17">
        <f>B8/10000000</f>
        <v/>
      </c>
      <c r="D8" s="4" t="inlineStr">
        <is>
          <t>Curated topic briefs, item review, Hindi QA.</t>
        </is>
      </c>
    </row>
    <row r="9">
      <c r="A9" s="4" t="inlineStr">
        <is>
          <t>Compliance, legal, security</t>
        </is>
      </c>
      <c r="B9" s="18" t="n">
        <v>500000</v>
      </c>
      <c r="C9" s="17">
        <f>B9/10000000</f>
        <v/>
      </c>
      <c r="D9" s="4" t="inlineStr">
        <is>
          <t>DPDP notices, DPA, audit, penetration test.</t>
        </is>
      </c>
    </row>
    <row r="10">
      <c r="A10" s="4" t="inlineStr">
        <is>
          <t>Working capital &amp; buffer</t>
        </is>
      </c>
      <c r="B10" s="18" t="n">
        <v>1000000</v>
      </c>
      <c r="C10" s="17">
        <f>B10/10000000</f>
        <v/>
      </c>
      <c r="D10" s="4" t="inlineStr">
        <is>
          <t>Receivables, contingency.</t>
        </is>
      </c>
    </row>
    <row r="11">
      <c r="A11" s="19" t="inlineStr">
        <is>
          <t>Total</t>
        </is>
      </c>
      <c r="B11" s="18">
        <f>SUM(B5:B10)</f>
        <v/>
      </c>
      <c r="C11" s="17">
        <f>SUM(C5:C10)</f>
        <v/>
      </c>
      <c r="D1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2026-10-23T14:53:53Z</dcterms:created>
  <dcterms:modified xsi:type="dcterms:W3CDTF">2026-10-23T14:53:53Z</dcterms:modified>
</cp:coreProperties>
</file>